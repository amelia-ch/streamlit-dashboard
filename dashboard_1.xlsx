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MEL\Document\project\streamlit-dashboard\"/>
    </mc:Choice>
  </mc:AlternateContent>
  <xr:revisionPtr revIDLastSave="0" documentId="13_ncr:1_{26564D24-6BCA-47B9-B029-93680D4E421D}" xr6:coauthVersionLast="47" xr6:coauthVersionMax="47" xr10:uidLastSave="{00000000-0000-0000-0000-000000000000}"/>
  <bookViews>
    <workbookView xWindow="-108" yWindow="-108" windowWidth="23256" windowHeight="12456" xr2:uid="{934314AA-43D4-415E-B4E3-338BBEC4E026}"/>
  </bookViews>
  <sheets>
    <sheet name="Demografi APERD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3" i="1" l="1"/>
  <c r="H33" i="1"/>
  <c r="G33" i="1"/>
  <c r="F33" i="1"/>
  <c r="E33" i="1"/>
  <c r="I32" i="1"/>
  <c r="H32" i="1"/>
  <c r="G32" i="1"/>
  <c r="F32" i="1"/>
  <c r="E32" i="1"/>
  <c r="I31" i="1"/>
  <c r="H31" i="1"/>
  <c r="G31" i="1"/>
  <c r="F31" i="1"/>
  <c r="E31" i="1"/>
  <c r="I30" i="1"/>
  <c r="H30" i="1"/>
  <c r="G30" i="1"/>
  <c r="F30" i="1"/>
  <c r="E30" i="1"/>
  <c r="I29" i="1"/>
  <c r="H29" i="1"/>
  <c r="G29" i="1"/>
  <c r="F29" i="1"/>
  <c r="E29" i="1"/>
  <c r="I28" i="1"/>
  <c r="H28" i="1"/>
  <c r="G28" i="1"/>
  <c r="F28" i="1"/>
  <c r="E28" i="1"/>
  <c r="I27" i="1"/>
  <c r="H27" i="1"/>
  <c r="G27" i="1"/>
  <c r="F27" i="1"/>
  <c r="E27" i="1"/>
  <c r="I26" i="1"/>
  <c r="H26" i="1"/>
  <c r="G26" i="1"/>
  <c r="F26" i="1"/>
  <c r="E26" i="1"/>
  <c r="I25" i="1"/>
  <c r="H25" i="1"/>
  <c r="G25" i="1"/>
  <c r="F25" i="1"/>
  <c r="E25" i="1"/>
  <c r="I24" i="1"/>
  <c r="H24" i="1"/>
  <c r="G24" i="1"/>
  <c r="F24" i="1"/>
  <c r="E24" i="1"/>
  <c r="I23" i="1"/>
  <c r="H23" i="1"/>
  <c r="G23" i="1"/>
  <c r="F23" i="1"/>
  <c r="E23" i="1"/>
  <c r="I22" i="1"/>
  <c r="H22" i="1"/>
  <c r="G22" i="1"/>
  <c r="F22" i="1"/>
  <c r="E22" i="1"/>
  <c r="I21" i="1"/>
  <c r="H21" i="1"/>
  <c r="G21" i="1"/>
  <c r="F21" i="1"/>
  <c r="E21" i="1"/>
  <c r="I20" i="1"/>
  <c r="H20" i="1"/>
  <c r="G20" i="1"/>
  <c r="F20" i="1"/>
  <c r="E20" i="1"/>
  <c r="I19" i="1"/>
  <c r="H19" i="1"/>
  <c r="G19" i="1"/>
  <c r="F19" i="1"/>
  <c r="E19" i="1"/>
  <c r="I18" i="1"/>
  <c r="H18" i="1"/>
  <c r="G18" i="1"/>
  <c r="F18" i="1"/>
  <c r="E18" i="1"/>
  <c r="I17" i="1"/>
  <c r="H17" i="1"/>
  <c r="G17" i="1"/>
  <c r="F17" i="1"/>
  <c r="E17" i="1"/>
  <c r="I16" i="1"/>
  <c r="H16" i="1"/>
  <c r="G16" i="1"/>
  <c r="F16" i="1"/>
  <c r="E16" i="1"/>
  <c r="I15" i="1"/>
  <c r="H15" i="1"/>
  <c r="G15" i="1"/>
  <c r="F15" i="1"/>
  <c r="E15" i="1"/>
  <c r="I14" i="1"/>
  <c r="H14" i="1"/>
  <c r="G14" i="1"/>
  <c r="F14" i="1"/>
  <c r="E14" i="1"/>
  <c r="I13" i="1"/>
  <c r="H13" i="1"/>
  <c r="G13" i="1"/>
  <c r="F13" i="1"/>
  <c r="E13" i="1"/>
  <c r="I12" i="1"/>
  <c r="H12" i="1"/>
  <c r="G12" i="1"/>
  <c r="F12" i="1"/>
  <c r="E12" i="1"/>
  <c r="I11" i="1"/>
  <c r="H11" i="1"/>
  <c r="G11" i="1"/>
  <c r="F11" i="1"/>
  <c r="E11" i="1"/>
  <c r="I10" i="1"/>
  <c r="H10" i="1"/>
  <c r="G10" i="1"/>
  <c r="F10" i="1"/>
  <c r="E10" i="1"/>
  <c r="I9" i="1"/>
  <c r="H9" i="1"/>
  <c r="G9" i="1"/>
  <c r="F9" i="1"/>
  <c r="E9" i="1"/>
  <c r="I8" i="1"/>
  <c r="H8" i="1"/>
  <c r="G8" i="1"/>
  <c r="F8" i="1"/>
  <c r="E8" i="1"/>
  <c r="I7" i="1"/>
  <c r="H7" i="1"/>
  <c r="G7" i="1"/>
  <c r="F7" i="1"/>
  <c r="E7" i="1"/>
  <c r="I6" i="1"/>
  <c r="H6" i="1"/>
  <c r="G6" i="1"/>
  <c r="F6" i="1"/>
  <c r="E6" i="1"/>
  <c r="I5" i="1"/>
  <c r="H5" i="1"/>
  <c r="G5" i="1"/>
  <c r="F5" i="1"/>
  <c r="E5" i="1"/>
  <c r="I4" i="1"/>
  <c r="H4" i="1"/>
  <c r="G4" i="1"/>
  <c r="F4" i="1"/>
  <c r="E4" i="1"/>
  <c r="I3" i="1"/>
  <c r="H3" i="1"/>
  <c r="G3" i="1"/>
  <c r="F3" i="1"/>
  <c r="E3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<sst xmlns="http://schemas.openxmlformats.org/spreadsheetml/2006/main" count="41" uniqueCount="41">
  <si>
    <t>APERD</t>
  </si>
  <si>
    <t>SID</t>
  </si>
  <si>
    <t>IFUA</t>
  </si>
  <si>
    <t>PT. BANK NEGARA INDONESIA (PERSERO).TBK</t>
  </si>
  <si>
    <t>PT Bibit Tumbuh Bersama</t>
  </si>
  <si>
    <t>PT BANK SMBC INDONESIA TBK</t>
  </si>
  <si>
    <t>PT Indo Premier Sekuritas</t>
  </si>
  <si>
    <t>PT. Moduit Digital Indonesia</t>
  </si>
  <si>
    <t>PT Buka Investasi Bersama</t>
  </si>
  <si>
    <t>Bank CTBC Indonesia</t>
  </si>
  <si>
    <t>PT. Nusantara Sejahtera Investama</t>
  </si>
  <si>
    <t>PT Takjub Teknologi Indonesia</t>
  </si>
  <si>
    <t>PT BNI SEKURITAS</t>
  </si>
  <si>
    <t>PT BANK HIBANK INDONESIA</t>
  </si>
  <si>
    <t>PT Bareksa Portal Investasi</t>
  </si>
  <si>
    <t>PT PHILLIP SEKURITAS INDONESIA</t>
  </si>
  <si>
    <t>PT BNI Asset Management</t>
  </si>
  <si>
    <t>PT Star Mercato Capitale</t>
  </si>
  <si>
    <t>PT Inovasi Finansial Teknologi</t>
  </si>
  <si>
    <t>PT Bank Pembangunan Daerah Jawa Barat dan Banten. Tbk. (bank bjb)</t>
  </si>
  <si>
    <t>PT. Mirae Asset Sekuritas Indonesia</t>
  </si>
  <si>
    <t>PT Artha Investa Teknologi</t>
  </si>
  <si>
    <t>PT Sarana Santosa Sejati</t>
  </si>
  <si>
    <t>PT. MANDIRI SEKURITAS</t>
  </si>
  <si>
    <t>PT Trust Sekuritas</t>
  </si>
  <si>
    <t>PT BRI DANAREKSA SEKURITAS</t>
  </si>
  <si>
    <t>PT SayaKaya Lahir Batin</t>
  </si>
  <si>
    <t>PT Trimegah Sekuritas Indonesia Tbk</t>
  </si>
  <si>
    <t>PT Bahana Sekuritas</t>
  </si>
  <si>
    <t>PT BJB SEKURITAS JAWA BARAT</t>
  </si>
  <si>
    <t>PT. MNC Sekuritas</t>
  </si>
  <si>
    <t>PT Mega Capital Sekuritas</t>
  </si>
  <si>
    <t>PT Invesnow Principal Optima</t>
  </si>
  <si>
    <t>PT Supermarket Reksadana Indonesia</t>
  </si>
  <si>
    <t>PT CGS INTERNATIONAL SEKURITAS INDONESIA</t>
  </si>
  <si>
    <t>Baby Boomers</t>
  </si>
  <si>
    <t>Alpha</t>
  </si>
  <si>
    <t>Gen X</t>
  </si>
  <si>
    <t>Gen Y</t>
  </si>
  <si>
    <t>Gen Z</t>
  </si>
  <si>
    <t>AUM (Bn)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</si>
</sst>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">
    <xf numFmtId="0" fontId="0" fillId="0" borderId="0" xfId="0"/>
    <xf numFmtId="165" fontId="0" fillId="0" borderId="0" xfId="1" applyNumberFormat="1" applyFont="1"/>
    <xf numFmtId="164" fontId="0" fillId="0" borderId="0" xfId="1" applyFont="1"/>
    <xf numFmtId="0" fontId="0" fillId="0" borderId="1" xfId="0" applyBorder="1"/>
    <xf numFmtId="165" fontId="0" fillId="0" borderId="1" xfId="1" applyNumberFormat="1" applyFont="1" applyBorder="1"/>
    <xf numFmtId="164" fontId="0" fillId="0" borderId="1" xfId="1" applyFont="1" applyBorder="1"/>
    <xf numFmtId="0" fontId="2" fillId="0" borderId="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melia.chairunnisa\Downloads\Nasabah%20APERD%20Berdasarkan%20Generas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asabah APERD Berdasarkan Gener"/>
    </sheetNames>
    <sheetDataSet>
      <sheetData sheetId="0">
        <row r="4">
          <cell r="B4" t="str">
            <v>PT Bibit Tumbuh Bersama</v>
          </cell>
          <cell r="C4">
            <v>1858</v>
          </cell>
          <cell r="D4">
            <v>23623</v>
          </cell>
          <cell r="E4">
            <v>119452</v>
          </cell>
          <cell r="F4">
            <v>218548</v>
          </cell>
          <cell r="G4">
            <v>1</v>
          </cell>
        </row>
        <row r="5">
          <cell r="B5" t="str">
            <v>PT Takjub Teknologi Indonesia</v>
          </cell>
          <cell r="C5">
            <v>86</v>
          </cell>
          <cell r="D5">
            <v>1227</v>
          </cell>
          <cell r="E5">
            <v>6207</v>
          </cell>
          <cell r="F5">
            <v>12224</v>
          </cell>
          <cell r="G5">
            <v>0</v>
          </cell>
        </row>
        <row r="6">
          <cell r="B6" t="str">
            <v>PT. BANK NEGARA INDONESIA (PERSERO).TBK</v>
          </cell>
          <cell r="C6">
            <v>1188</v>
          </cell>
          <cell r="D6">
            <v>3201</v>
          </cell>
          <cell r="E6">
            <v>4227</v>
          </cell>
          <cell r="F6">
            <v>4183</v>
          </cell>
          <cell r="G6">
            <v>1</v>
          </cell>
        </row>
        <row r="7">
          <cell r="B7" t="str">
            <v>PT Sarana Santosa Sejati</v>
          </cell>
          <cell r="C7">
            <v>20</v>
          </cell>
          <cell r="D7">
            <v>379</v>
          </cell>
          <cell r="E7">
            <v>996</v>
          </cell>
          <cell r="F7">
            <v>1224</v>
          </cell>
          <cell r="G7">
            <v>0</v>
          </cell>
        </row>
        <row r="8">
          <cell r="B8" t="str">
            <v>PT Inovasi Finansial Teknologi</v>
          </cell>
          <cell r="C8">
            <v>60</v>
          </cell>
          <cell r="D8">
            <v>308</v>
          </cell>
          <cell r="E8">
            <v>786</v>
          </cell>
          <cell r="F8">
            <v>1141</v>
          </cell>
          <cell r="G8">
            <v>0</v>
          </cell>
        </row>
        <row r="9">
          <cell r="B9" t="str">
            <v>PT Bareksa Portal Investasi</v>
          </cell>
          <cell r="C9">
            <v>39</v>
          </cell>
          <cell r="D9">
            <v>465</v>
          </cell>
          <cell r="E9">
            <v>1537</v>
          </cell>
          <cell r="F9">
            <v>1063</v>
          </cell>
          <cell r="G9">
            <v>0</v>
          </cell>
        </row>
        <row r="10">
          <cell r="B10" t="str">
            <v>PT BNI SEKURITAS</v>
          </cell>
          <cell r="C10">
            <v>85</v>
          </cell>
          <cell r="D10">
            <v>990</v>
          </cell>
          <cell r="E10">
            <v>1815</v>
          </cell>
          <cell r="F10">
            <v>1006</v>
          </cell>
          <cell r="G10">
            <v>0</v>
          </cell>
        </row>
        <row r="11">
          <cell r="B11" t="str">
            <v>PT Indo Premier Sekuritas</v>
          </cell>
          <cell r="C11">
            <v>82</v>
          </cell>
          <cell r="D11">
            <v>621</v>
          </cell>
          <cell r="E11">
            <v>1746</v>
          </cell>
          <cell r="F11">
            <v>877</v>
          </cell>
          <cell r="G11">
            <v>0</v>
          </cell>
        </row>
        <row r="12">
          <cell r="B12" t="str">
            <v>PT Star Mercato Capitale</v>
          </cell>
          <cell r="C12">
            <v>27</v>
          </cell>
          <cell r="D12">
            <v>317</v>
          </cell>
          <cell r="E12">
            <v>1056</v>
          </cell>
          <cell r="F12">
            <v>870</v>
          </cell>
          <cell r="G12">
            <v>0</v>
          </cell>
        </row>
        <row r="13">
          <cell r="B13" t="str">
            <v>PT BANK SMBC INDONESIA TBK</v>
          </cell>
          <cell r="C13">
            <v>124</v>
          </cell>
          <cell r="D13">
            <v>238</v>
          </cell>
          <cell r="E13">
            <v>576</v>
          </cell>
          <cell r="F13">
            <v>444</v>
          </cell>
          <cell r="G13">
            <v>0</v>
          </cell>
        </row>
        <row r="14">
          <cell r="B14" t="str">
            <v>PT PHILLIP SEKURITAS INDONESIA</v>
          </cell>
          <cell r="C14">
            <v>19</v>
          </cell>
          <cell r="D14">
            <v>92</v>
          </cell>
          <cell r="E14">
            <v>200</v>
          </cell>
          <cell r="F14">
            <v>202</v>
          </cell>
          <cell r="G14">
            <v>0</v>
          </cell>
        </row>
        <row r="15">
          <cell r="B15" t="str">
            <v>PT. Nusantara Sejahtera Investama</v>
          </cell>
          <cell r="C15">
            <v>16</v>
          </cell>
          <cell r="D15">
            <v>119</v>
          </cell>
          <cell r="E15">
            <v>218</v>
          </cell>
          <cell r="F15">
            <v>147</v>
          </cell>
          <cell r="G15">
            <v>0</v>
          </cell>
        </row>
        <row r="16">
          <cell r="B16" t="str">
            <v>PT. MANDIRI SEKURITAS</v>
          </cell>
          <cell r="C16">
            <v>2</v>
          </cell>
          <cell r="D16">
            <v>53</v>
          </cell>
          <cell r="E16">
            <v>137</v>
          </cell>
          <cell r="F16">
            <v>137</v>
          </cell>
          <cell r="G16">
            <v>0</v>
          </cell>
        </row>
        <row r="17">
          <cell r="B17" t="str">
            <v>PT. Moduit Digital Indonesia</v>
          </cell>
          <cell r="C17">
            <v>11</v>
          </cell>
          <cell r="D17">
            <v>44</v>
          </cell>
          <cell r="E17">
            <v>116</v>
          </cell>
          <cell r="F17">
            <v>108</v>
          </cell>
          <cell r="G17">
            <v>0</v>
          </cell>
        </row>
        <row r="18">
          <cell r="B18" t="str">
            <v>PT SayaKaya Lahir Batin</v>
          </cell>
          <cell r="C18">
            <v>2</v>
          </cell>
          <cell r="D18">
            <v>18</v>
          </cell>
          <cell r="E18">
            <v>74</v>
          </cell>
          <cell r="F18">
            <v>74</v>
          </cell>
          <cell r="G18">
            <v>0</v>
          </cell>
        </row>
        <row r="19">
          <cell r="B19" t="str">
            <v>PT BRI DANAREKSA SEKURITAS</v>
          </cell>
          <cell r="C19">
            <v>10</v>
          </cell>
          <cell r="D19">
            <v>39</v>
          </cell>
          <cell r="E19">
            <v>60</v>
          </cell>
          <cell r="F19">
            <v>66</v>
          </cell>
          <cell r="G19">
            <v>0</v>
          </cell>
        </row>
        <row r="20">
          <cell r="B20" t="str">
            <v>PT Trust Sekuritas</v>
          </cell>
          <cell r="C20">
            <v>0</v>
          </cell>
          <cell r="D20">
            <v>31</v>
          </cell>
          <cell r="E20">
            <v>85</v>
          </cell>
          <cell r="F20">
            <v>55</v>
          </cell>
          <cell r="G20">
            <v>0</v>
          </cell>
        </row>
        <row r="21">
          <cell r="B21" t="str">
            <v>PT. MNC Sekuritas</v>
          </cell>
          <cell r="C21">
            <v>0</v>
          </cell>
          <cell r="D21">
            <v>14</v>
          </cell>
          <cell r="E21">
            <v>26</v>
          </cell>
          <cell r="F21">
            <v>37</v>
          </cell>
          <cell r="G21">
            <v>0</v>
          </cell>
        </row>
        <row r="22">
          <cell r="B22" t="str">
            <v>PT. Mirae Asset Sekuritas Indonesia</v>
          </cell>
          <cell r="C22">
            <v>8</v>
          </cell>
          <cell r="D22">
            <v>26</v>
          </cell>
          <cell r="E22">
            <v>42</v>
          </cell>
          <cell r="F22">
            <v>27</v>
          </cell>
          <cell r="G22">
            <v>0</v>
          </cell>
        </row>
        <row r="23">
          <cell r="B23" t="str">
            <v>PT BNI Asset Management</v>
          </cell>
          <cell r="C23">
            <v>17</v>
          </cell>
          <cell r="D23">
            <v>103</v>
          </cell>
          <cell r="E23">
            <v>125</v>
          </cell>
          <cell r="F23">
            <v>22</v>
          </cell>
          <cell r="G23">
            <v>1</v>
          </cell>
        </row>
        <row r="24">
          <cell r="B24" t="str">
            <v>PT Buka Investasi Bersama</v>
          </cell>
          <cell r="C24">
            <v>5</v>
          </cell>
          <cell r="D24">
            <v>25</v>
          </cell>
          <cell r="E24">
            <v>64</v>
          </cell>
          <cell r="F24">
            <v>20</v>
          </cell>
          <cell r="G24">
            <v>0</v>
          </cell>
        </row>
        <row r="25">
          <cell r="B25" t="str">
            <v>PT Invesnow Principal Optima</v>
          </cell>
          <cell r="C25">
            <v>0</v>
          </cell>
          <cell r="D25">
            <v>2</v>
          </cell>
          <cell r="E25">
            <v>6</v>
          </cell>
          <cell r="F25">
            <v>13</v>
          </cell>
          <cell r="G25">
            <v>0</v>
          </cell>
        </row>
        <row r="26">
          <cell r="B26" t="str">
            <v>PT Trimegah Sekuritas Indonesia Tbk</v>
          </cell>
          <cell r="C26">
            <v>2</v>
          </cell>
          <cell r="D26">
            <v>10</v>
          </cell>
          <cell r="E26">
            <v>19</v>
          </cell>
          <cell r="F26">
            <v>13</v>
          </cell>
          <cell r="G26">
            <v>0</v>
          </cell>
        </row>
        <row r="27">
          <cell r="B27" t="str">
            <v>Bank CTBC Indonesia</v>
          </cell>
          <cell r="C27">
            <v>26</v>
          </cell>
          <cell r="D27">
            <v>51</v>
          </cell>
          <cell r="E27">
            <v>21</v>
          </cell>
          <cell r="F27">
            <v>8</v>
          </cell>
          <cell r="G27">
            <v>0</v>
          </cell>
        </row>
        <row r="28">
          <cell r="B28" t="str">
            <v>PT Mega Capital Sekuritas</v>
          </cell>
          <cell r="C28">
            <v>0</v>
          </cell>
          <cell r="D28">
            <v>2</v>
          </cell>
          <cell r="E28">
            <v>11</v>
          </cell>
          <cell r="F28">
            <v>8</v>
          </cell>
          <cell r="G28">
            <v>0</v>
          </cell>
        </row>
        <row r="29">
          <cell r="B29" t="str">
            <v>PT Artha Investa Teknologi</v>
          </cell>
          <cell r="C29">
            <v>1</v>
          </cell>
          <cell r="D29">
            <v>2</v>
          </cell>
          <cell r="E29">
            <v>9</v>
          </cell>
          <cell r="F29">
            <v>4</v>
          </cell>
          <cell r="G29">
            <v>0</v>
          </cell>
        </row>
        <row r="30">
          <cell r="B30" t="str">
            <v>PT BJB SEKURITAS JAWA BARAT</v>
          </cell>
          <cell r="C30">
            <v>0</v>
          </cell>
          <cell r="D30">
            <v>4</v>
          </cell>
          <cell r="E30">
            <v>2</v>
          </cell>
          <cell r="F30">
            <v>4</v>
          </cell>
          <cell r="G30">
            <v>0</v>
          </cell>
        </row>
        <row r="31">
          <cell r="B31" t="str">
            <v>PT Bahana Sekuritas</v>
          </cell>
          <cell r="C31">
            <v>0</v>
          </cell>
          <cell r="D31">
            <v>4</v>
          </cell>
          <cell r="E31">
            <v>2</v>
          </cell>
          <cell r="F31">
            <v>2</v>
          </cell>
          <cell r="G31">
            <v>0</v>
          </cell>
        </row>
        <row r="32">
          <cell r="B32" t="str">
            <v>PT BANK HIBANK INDONESIA</v>
          </cell>
          <cell r="C32">
            <v>7</v>
          </cell>
          <cell r="D32">
            <v>24</v>
          </cell>
          <cell r="E32">
            <v>10</v>
          </cell>
          <cell r="F32">
            <v>2</v>
          </cell>
          <cell r="G32">
            <v>0</v>
          </cell>
        </row>
        <row r="33">
          <cell r="B33" t="str">
            <v>PT Bank Pembangunan Daerah Jawa Barat dan Banten. Tbk. (bank bjb)</v>
          </cell>
          <cell r="C33">
            <v>3</v>
          </cell>
          <cell r="D33">
            <v>5</v>
          </cell>
          <cell r="E33">
            <v>3</v>
          </cell>
          <cell r="F33">
            <v>1</v>
          </cell>
          <cell r="G33">
            <v>0</v>
          </cell>
        </row>
        <row r="34">
          <cell r="B34" t="str">
            <v>PT CGS INTERNATIONAL SEKURITAS INDONESIA</v>
          </cell>
          <cell r="C34">
            <v>0</v>
          </cell>
          <cell r="D34">
            <v>0</v>
          </cell>
          <cell r="E34">
            <v>2</v>
          </cell>
          <cell r="F34">
            <v>0</v>
          </cell>
          <cell r="G34">
            <v>0</v>
          </cell>
        </row>
        <row r="35">
          <cell r="B35" t="str">
            <v>PT Supermarket Reksadana Indonesia</v>
          </cell>
          <cell r="C35">
            <v>0</v>
          </cell>
          <cell r="D35">
            <v>0</v>
          </cell>
          <cell r="E35">
            <v>1</v>
          </cell>
          <cell r="F35">
            <v>0</v>
          </cell>
          <cell r="G3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AC3B2-818B-46EB-9F9F-AA7321368161}">
  <dimension ref="A1:I33"/>
  <sheetViews>
    <sheetView tabSelected="1" workbookViewId="0">
      <selection activeCell="E8" sqref="E8"/>
    </sheetView>
  </sheetViews>
  <sheetFormatPr defaultRowHeight="14.4" x14ac:dyDescent="0.3"/>
  <cols>
    <col min="1" max="1" width="58.88671875" bestFit="1" customWidth="1"/>
    <col min="2" max="3" width="8.5546875" style="1" bestFit="1" customWidth="1"/>
    <col min="4" max="4" width="15.44140625" style="2" bestFit="1" customWidth="1"/>
    <col min="5" max="5" width="13.21875" bestFit="1" customWidth="1"/>
    <col min="6" max="6" width="6.109375" bestFit="1" customWidth="1"/>
    <col min="7" max="8" width="7" bestFit="1" customWidth="1"/>
    <col min="9" max="9" width="5.88671875" bestFit="1" customWidth="1"/>
  </cols>
  <sheetData>
    <row r="1" spans="1:9" x14ac:dyDescent="0.3">
      <c r="A1" s="3" t="s">
        <v>0</v>
      </c>
      <c r="B1" s="4" t="s">
        <v>1</v>
      </c>
      <c r="C1" s="4" t="s">
        <v>2</v>
      </c>
      <c r="D1" s="4" t="s">
        <v>40</v>
      </c>
      <c r="E1" s="6" t="s">
        <v>35</v>
      </c>
      <c r="F1" s="6" t="s">
        <v>37</v>
      </c>
      <c r="G1" s="6" t="s">
        <v>38</v>
      </c>
      <c r="H1" s="6" t="s">
        <v>39</v>
      </c>
      <c r="I1" s="6" t="s">
        <v>36</v>
      </c>
    </row>
    <row r="2" spans="1:9" x14ac:dyDescent="0.3">
      <c r="A2" s="3" t="s">
        <v>3</v>
      </c>
      <c r="B2" s="4">
        <v>12694</v>
      </c>
      <c r="C2" s="4">
        <v>12787</v>
      </c>
      <c r="D2" s="5">
        <v>3249240.9717549901</v>
      </c>
      <c r="E2">
        <f>VLOOKUP($A2,'[1]Nasabah APERD Berdasarkan Gener'!$B$4:$G$35,2,FALSE)</f>
        <v>1188</v>
      </c>
      <c r="F2">
        <f>VLOOKUP($A2,'[1]Nasabah APERD Berdasarkan Gener'!$B$4:$G$35,3,FALSE)</f>
        <v>3201</v>
      </c>
      <c r="G2">
        <f>VLOOKUP($A2,'[1]Nasabah APERD Berdasarkan Gener'!$B$4:$G$35,4,FALSE)</f>
        <v>4227</v>
      </c>
      <c r="H2">
        <f>VLOOKUP($A2,'[1]Nasabah APERD Berdasarkan Gener'!$B$4:$G$35,5,FALSE)</f>
        <v>4183</v>
      </c>
      <c r="I2">
        <f>VLOOKUP($A2,'[1]Nasabah APERD Berdasarkan Gener'!$B$4:$G$35,6,FALSE)</f>
        <v>1</v>
      </c>
    </row>
    <row r="3" spans="1:9" x14ac:dyDescent="0.3">
      <c r="A3" s="3" t="s">
        <v>4</v>
      </c>
      <c r="B3" s="4">
        <v>353040</v>
      </c>
      <c r="C3" s="4">
        <v>354461</v>
      </c>
      <c r="D3" s="5">
        <v>1038623.63828773</v>
      </c>
      <c r="E3">
        <f>VLOOKUP($A3,'[1]Nasabah APERD Berdasarkan Gener'!$B$4:$G$35,2,FALSE)</f>
        <v>1858</v>
      </c>
      <c r="F3">
        <f>VLOOKUP($A3,'[1]Nasabah APERD Berdasarkan Gener'!$B$4:$G$35,3,FALSE)</f>
        <v>23623</v>
      </c>
      <c r="G3">
        <f>VLOOKUP($A3,'[1]Nasabah APERD Berdasarkan Gener'!$B$4:$G$35,4,FALSE)</f>
        <v>119452</v>
      </c>
      <c r="H3">
        <f>VLOOKUP($A3,'[1]Nasabah APERD Berdasarkan Gener'!$B$4:$G$35,5,FALSE)</f>
        <v>218548</v>
      </c>
      <c r="I3">
        <f>VLOOKUP($A3,'[1]Nasabah APERD Berdasarkan Gener'!$B$4:$G$35,6,FALSE)</f>
        <v>1</v>
      </c>
    </row>
    <row r="4" spans="1:9" x14ac:dyDescent="0.3">
      <c r="A4" s="3" t="s">
        <v>5</v>
      </c>
      <c r="B4" s="4">
        <v>1385</v>
      </c>
      <c r="C4" s="4">
        <v>1385</v>
      </c>
      <c r="D4" s="5">
        <v>158330.35463571001</v>
      </c>
      <c r="E4">
        <f>VLOOKUP($A4,'[1]Nasabah APERD Berdasarkan Gener'!$B$4:$G$35,2,FALSE)</f>
        <v>124</v>
      </c>
      <c r="F4">
        <f>VLOOKUP($A4,'[1]Nasabah APERD Berdasarkan Gener'!$B$4:$G$35,3,FALSE)</f>
        <v>238</v>
      </c>
      <c r="G4">
        <f>VLOOKUP($A4,'[1]Nasabah APERD Berdasarkan Gener'!$B$4:$G$35,4,FALSE)</f>
        <v>576</v>
      </c>
      <c r="H4">
        <f>VLOOKUP($A4,'[1]Nasabah APERD Berdasarkan Gener'!$B$4:$G$35,5,FALSE)</f>
        <v>444</v>
      </c>
      <c r="I4">
        <f>VLOOKUP($A4,'[1]Nasabah APERD Berdasarkan Gener'!$B$4:$G$35,6,FALSE)</f>
        <v>0</v>
      </c>
    </row>
    <row r="5" spans="1:9" x14ac:dyDescent="0.3">
      <c r="A5" s="3" t="s">
        <v>6</v>
      </c>
      <c r="B5" s="4">
        <v>3286</v>
      </c>
      <c r="C5" s="4">
        <v>3286</v>
      </c>
      <c r="D5" s="5">
        <v>71575.605096999803</v>
      </c>
      <c r="E5">
        <f>VLOOKUP($A5,'[1]Nasabah APERD Berdasarkan Gener'!$B$4:$G$35,2,FALSE)</f>
        <v>82</v>
      </c>
      <c r="F5">
        <f>VLOOKUP($A5,'[1]Nasabah APERD Berdasarkan Gener'!$B$4:$G$35,3,FALSE)</f>
        <v>621</v>
      </c>
      <c r="G5">
        <f>VLOOKUP($A5,'[1]Nasabah APERD Berdasarkan Gener'!$B$4:$G$35,4,FALSE)</f>
        <v>1746</v>
      </c>
      <c r="H5">
        <f>VLOOKUP($A5,'[1]Nasabah APERD Berdasarkan Gener'!$B$4:$G$35,5,FALSE)</f>
        <v>877</v>
      </c>
      <c r="I5">
        <f>VLOOKUP($A5,'[1]Nasabah APERD Berdasarkan Gener'!$B$4:$G$35,6,FALSE)</f>
        <v>0</v>
      </c>
    </row>
    <row r="6" spans="1:9" x14ac:dyDescent="0.3">
      <c r="A6" s="3" t="s">
        <v>7</v>
      </c>
      <c r="B6" s="4">
        <v>273</v>
      </c>
      <c r="C6" s="4">
        <v>273</v>
      </c>
      <c r="D6" s="5">
        <v>32627.218354439901</v>
      </c>
      <c r="E6">
        <f>VLOOKUP($A6,'[1]Nasabah APERD Berdasarkan Gener'!$B$4:$G$35,2,FALSE)</f>
        <v>11</v>
      </c>
      <c r="F6">
        <f>VLOOKUP($A6,'[1]Nasabah APERD Berdasarkan Gener'!$B$4:$G$35,3,FALSE)</f>
        <v>44</v>
      </c>
      <c r="G6">
        <f>VLOOKUP($A6,'[1]Nasabah APERD Berdasarkan Gener'!$B$4:$G$35,4,FALSE)</f>
        <v>116</v>
      </c>
      <c r="H6">
        <f>VLOOKUP($A6,'[1]Nasabah APERD Berdasarkan Gener'!$B$4:$G$35,5,FALSE)</f>
        <v>108</v>
      </c>
      <c r="I6">
        <f>VLOOKUP($A6,'[1]Nasabah APERD Berdasarkan Gener'!$B$4:$G$35,6,FALSE)</f>
        <v>0</v>
      </c>
    </row>
    <row r="7" spans="1:9" x14ac:dyDescent="0.3">
      <c r="A7" s="3" t="s">
        <v>8</v>
      </c>
      <c r="B7" s="4">
        <v>115</v>
      </c>
      <c r="C7" s="4">
        <v>115</v>
      </c>
      <c r="D7" s="5">
        <v>18092.830863560001</v>
      </c>
      <c r="E7">
        <f>VLOOKUP($A7,'[1]Nasabah APERD Berdasarkan Gener'!$B$4:$G$35,2,FALSE)</f>
        <v>5</v>
      </c>
      <c r="F7">
        <f>VLOOKUP($A7,'[1]Nasabah APERD Berdasarkan Gener'!$B$4:$G$35,3,FALSE)</f>
        <v>25</v>
      </c>
      <c r="G7">
        <f>VLOOKUP($A7,'[1]Nasabah APERD Berdasarkan Gener'!$B$4:$G$35,4,FALSE)</f>
        <v>64</v>
      </c>
      <c r="H7">
        <f>VLOOKUP($A7,'[1]Nasabah APERD Berdasarkan Gener'!$B$4:$G$35,5,FALSE)</f>
        <v>20</v>
      </c>
      <c r="I7">
        <f>VLOOKUP($A7,'[1]Nasabah APERD Berdasarkan Gener'!$B$4:$G$35,6,FALSE)</f>
        <v>0</v>
      </c>
    </row>
    <row r="8" spans="1:9" x14ac:dyDescent="0.3">
      <c r="A8" s="3" t="s">
        <v>9</v>
      </c>
      <c r="B8" s="4">
        <v>106</v>
      </c>
      <c r="C8" s="4">
        <v>106</v>
      </c>
      <c r="D8" s="5">
        <v>17399.950861099998</v>
      </c>
      <c r="E8">
        <f>VLOOKUP($A8,'[1]Nasabah APERD Berdasarkan Gener'!$B$4:$G$35,2,FALSE)</f>
        <v>26</v>
      </c>
      <c r="F8">
        <f>VLOOKUP($A8,'[1]Nasabah APERD Berdasarkan Gener'!$B$4:$G$35,3,FALSE)</f>
        <v>51</v>
      </c>
      <c r="G8">
        <f>VLOOKUP($A8,'[1]Nasabah APERD Berdasarkan Gener'!$B$4:$G$35,4,FALSE)</f>
        <v>21</v>
      </c>
      <c r="H8">
        <f>VLOOKUP($A8,'[1]Nasabah APERD Berdasarkan Gener'!$B$4:$G$35,5,FALSE)</f>
        <v>8</v>
      </c>
      <c r="I8">
        <f>VLOOKUP($A8,'[1]Nasabah APERD Berdasarkan Gener'!$B$4:$G$35,6,FALSE)</f>
        <v>0</v>
      </c>
    </row>
    <row r="9" spans="1:9" x14ac:dyDescent="0.3">
      <c r="A9" s="3" t="s">
        <v>10</v>
      </c>
      <c r="B9" s="4">
        <v>494</v>
      </c>
      <c r="C9" s="4">
        <v>553</v>
      </c>
      <c r="D9" s="5">
        <v>10960.711164569901</v>
      </c>
      <c r="E9">
        <f>VLOOKUP($A9,'[1]Nasabah APERD Berdasarkan Gener'!$B$4:$G$35,2,FALSE)</f>
        <v>16</v>
      </c>
      <c r="F9">
        <f>VLOOKUP($A9,'[1]Nasabah APERD Berdasarkan Gener'!$B$4:$G$35,3,FALSE)</f>
        <v>119</v>
      </c>
      <c r="G9">
        <f>VLOOKUP($A9,'[1]Nasabah APERD Berdasarkan Gener'!$B$4:$G$35,4,FALSE)</f>
        <v>218</v>
      </c>
      <c r="H9">
        <f>VLOOKUP($A9,'[1]Nasabah APERD Berdasarkan Gener'!$B$4:$G$35,5,FALSE)</f>
        <v>147</v>
      </c>
      <c r="I9">
        <f>VLOOKUP($A9,'[1]Nasabah APERD Berdasarkan Gener'!$B$4:$G$35,6,FALSE)</f>
        <v>0</v>
      </c>
    </row>
    <row r="10" spans="1:9" x14ac:dyDescent="0.3">
      <c r="A10" s="3" t="s">
        <v>11</v>
      </c>
      <c r="B10" s="4">
        <v>19164</v>
      </c>
      <c r="C10" s="4">
        <v>19164</v>
      </c>
      <c r="D10" s="5">
        <v>10945.91734758</v>
      </c>
      <c r="E10">
        <f>VLOOKUP($A10,'[1]Nasabah APERD Berdasarkan Gener'!$B$4:$G$35,2,FALSE)</f>
        <v>86</v>
      </c>
      <c r="F10">
        <f>VLOOKUP($A10,'[1]Nasabah APERD Berdasarkan Gener'!$B$4:$G$35,3,FALSE)</f>
        <v>1227</v>
      </c>
      <c r="G10">
        <f>VLOOKUP($A10,'[1]Nasabah APERD Berdasarkan Gener'!$B$4:$G$35,4,FALSE)</f>
        <v>6207</v>
      </c>
      <c r="H10">
        <f>VLOOKUP($A10,'[1]Nasabah APERD Berdasarkan Gener'!$B$4:$G$35,5,FALSE)</f>
        <v>12224</v>
      </c>
      <c r="I10">
        <f>VLOOKUP($A10,'[1]Nasabah APERD Berdasarkan Gener'!$B$4:$G$35,6,FALSE)</f>
        <v>0</v>
      </c>
    </row>
    <row r="11" spans="1:9" x14ac:dyDescent="0.3">
      <c r="A11" s="3" t="s">
        <v>12</v>
      </c>
      <c r="B11" s="4">
        <v>3823</v>
      </c>
      <c r="C11" s="4">
        <v>3880</v>
      </c>
      <c r="D11" s="5">
        <v>10800.40686485</v>
      </c>
      <c r="E11">
        <f>VLOOKUP($A11,'[1]Nasabah APERD Berdasarkan Gener'!$B$4:$G$35,2,FALSE)</f>
        <v>85</v>
      </c>
      <c r="F11">
        <f>VLOOKUP($A11,'[1]Nasabah APERD Berdasarkan Gener'!$B$4:$G$35,3,FALSE)</f>
        <v>990</v>
      </c>
      <c r="G11">
        <f>VLOOKUP($A11,'[1]Nasabah APERD Berdasarkan Gener'!$B$4:$G$35,4,FALSE)</f>
        <v>1815</v>
      </c>
      <c r="H11">
        <f>VLOOKUP($A11,'[1]Nasabah APERD Berdasarkan Gener'!$B$4:$G$35,5,FALSE)</f>
        <v>1006</v>
      </c>
      <c r="I11">
        <f>VLOOKUP($A11,'[1]Nasabah APERD Berdasarkan Gener'!$B$4:$G$35,6,FALSE)</f>
        <v>0</v>
      </c>
    </row>
    <row r="12" spans="1:9" x14ac:dyDescent="0.3">
      <c r="A12" s="3" t="s">
        <v>13</v>
      </c>
      <c r="B12" s="4">
        <v>43</v>
      </c>
      <c r="C12" s="4">
        <v>43</v>
      </c>
      <c r="D12" s="5">
        <v>8397.8496392899997</v>
      </c>
      <c r="E12">
        <f>VLOOKUP($A12,'[1]Nasabah APERD Berdasarkan Gener'!$B$4:$G$35,2,FALSE)</f>
        <v>7</v>
      </c>
      <c r="F12">
        <f>VLOOKUP($A12,'[1]Nasabah APERD Berdasarkan Gener'!$B$4:$G$35,3,FALSE)</f>
        <v>24</v>
      </c>
      <c r="G12">
        <f>VLOOKUP($A12,'[1]Nasabah APERD Berdasarkan Gener'!$B$4:$G$35,4,FALSE)</f>
        <v>10</v>
      </c>
      <c r="H12">
        <f>VLOOKUP($A12,'[1]Nasabah APERD Berdasarkan Gener'!$B$4:$G$35,5,FALSE)</f>
        <v>2</v>
      </c>
      <c r="I12">
        <f>VLOOKUP($A12,'[1]Nasabah APERD Berdasarkan Gener'!$B$4:$G$35,6,FALSE)</f>
        <v>0</v>
      </c>
    </row>
    <row r="13" spans="1:9" x14ac:dyDescent="0.3">
      <c r="A13" s="3" t="s">
        <v>14</v>
      </c>
      <c r="B13" s="4">
        <v>3050</v>
      </c>
      <c r="C13" s="4">
        <v>3100</v>
      </c>
      <c r="D13" s="5">
        <v>7761.1554717400004</v>
      </c>
      <c r="E13">
        <f>VLOOKUP($A13,'[1]Nasabah APERD Berdasarkan Gener'!$B$4:$G$35,2,FALSE)</f>
        <v>39</v>
      </c>
      <c r="F13">
        <f>VLOOKUP($A13,'[1]Nasabah APERD Berdasarkan Gener'!$B$4:$G$35,3,FALSE)</f>
        <v>465</v>
      </c>
      <c r="G13">
        <f>VLOOKUP($A13,'[1]Nasabah APERD Berdasarkan Gener'!$B$4:$G$35,4,FALSE)</f>
        <v>1537</v>
      </c>
      <c r="H13">
        <f>VLOOKUP($A13,'[1]Nasabah APERD Berdasarkan Gener'!$B$4:$G$35,5,FALSE)</f>
        <v>1063</v>
      </c>
      <c r="I13">
        <f>VLOOKUP($A13,'[1]Nasabah APERD Berdasarkan Gener'!$B$4:$G$35,6,FALSE)</f>
        <v>0</v>
      </c>
    </row>
    <row r="14" spans="1:9" x14ac:dyDescent="0.3">
      <c r="A14" s="3" t="s">
        <v>15</v>
      </c>
      <c r="B14" s="4">
        <v>509</v>
      </c>
      <c r="C14" s="4">
        <v>509</v>
      </c>
      <c r="D14" s="5">
        <v>6926.5082050700003</v>
      </c>
      <c r="E14">
        <f>VLOOKUP($A14,'[1]Nasabah APERD Berdasarkan Gener'!$B$4:$G$35,2,FALSE)</f>
        <v>19</v>
      </c>
      <c r="F14">
        <f>VLOOKUP($A14,'[1]Nasabah APERD Berdasarkan Gener'!$B$4:$G$35,3,FALSE)</f>
        <v>92</v>
      </c>
      <c r="G14">
        <f>VLOOKUP($A14,'[1]Nasabah APERD Berdasarkan Gener'!$B$4:$G$35,4,FALSE)</f>
        <v>200</v>
      </c>
      <c r="H14">
        <f>VLOOKUP($A14,'[1]Nasabah APERD Berdasarkan Gener'!$B$4:$G$35,5,FALSE)</f>
        <v>202</v>
      </c>
      <c r="I14">
        <f>VLOOKUP($A14,'[1]Nasabah APERD Berdasarkan Gener'!$B$4:$G$35,6,FALSE)</f>
        <v>0</v>
      </c>
    </row>
    <row r="15" spans="1:9" x14ac:dyDescent="0.3">
      <c r="A15" s="3" t="s">
        <v>16</v>
      </c>
      <c r="B15" s="4">
        <v>267</v>
      </c>
      <c r="C15" s="4">
        <v>274</v>
      </c>
      <c r="D15" s="5">
        <v>6778.4146984399604</v>
      </c>
      <c r="E15">
        <f>VLOOKUP($A15,'[1]Nasabah APERD Berdasarkan Gener'!$B$4:$G$35,2,FALSE)</f>
        <v>17</v>
      </c>
      <c r="F15">
        <f>VLOOKUP($A15,'[1]Nasabah APERD Berdasarkan Gener'!$B$4:$G$35,3,FALSE)</f>
        <v>103</v>
      </c>
      <c r="G15">
        <f>VLOOKUP($A15,'[1]Nasabah APERD Berdasarkan Gener'!$B$4:$G$35,4,FALSE)</f>
        <v>125</v>
      </c>
      <c r="H15">
        <f>VLOOKUP($A15,'[1]Nasabah APERD Berdasarkan Gener'!$B$4:$G$35,5,FALSE)</f>
        <v>22</v>
      </c>
      <c r="I15">
        <f>VLOOKUP($A15,'[1]Nasabah APERD Berdasarkan Gener'!$B$4:$G$35,6,FALSE)</f>
        <v>1</v>
      </c>
    </row>
    <row r="16" spans="1:9" x14ac:dyDescent="0.3">
      <c r="A16" s="3" t="s">
        <v>17</v>
      </c>
      <c r="B16" s="4">
        <v>2223</v>
      </c>
      <c r="C16" s="4">
        <v>2224</v>
      </c>
      <c r="D16" s="5">
        <v>5002.2469072199901</v>
      </c>
      <c r="E16">
        <f>VLOOKUP($A16,'[1]Nasabah APERD Berdasarkan Gener'!$B$4:$G$35,2,FALSE)</f>
        <v>27</v>
      </c>
      <c r="F16">
        <f>VLOOKUP($A16,'[1]Nasabah APERD Berdasarkan Gener'!$B$4:$G$35,3,FALSE)</f>
        <v>317</v>
      </c>
      <c r="G16">
        <f>VLOOKUP($A16,'[1]Nasabah APERD Berdasarkan Gener'!$B$4:$G$35,4,FALSE)</f>
        <v>1056</v>
      </c>
      <c r="H16">
        <f>VLOOKUP($A16,'[1]Nasabah APERD Berdasarkan Gener'!$B$4:$G$35,5,FALSE)</f>
        <v>870</v>
      </c>
      <c r="I16">
        <f>VLOOKUP($A16,'[1]Nasabah APERD Berdasarkan Gener'!$B$4:$G$35,6,FALSE)</f>
        <v>0</v>
      </c>
    </row>
    <row r="17" spans="1:9" x14ac:dyDescent="0.3">
      <c r="A17" s="3" t="s">
        <v>18</v>
      </c>
      <c r="B17" s="4">
        <v>2218</v>
      </c>
      <c r="C17" s="4">
        <v>2218</v>
      </c>
      <c r="D17" s="5">
        <v>4171.1515321699899</v>
      </c>
      <c r="E17">
        <f>VLOOKUP($A17,'[1]Nasabah APERD Berdasarkan Gener'!$B$4:$G$35,2,FALSE)</f>
        <v>60</v>
      </c>
      <c r="F17">
        <f>VLOOKUP($A17,'[1]Nasabah APERD Berdasarkan Gener'!$B$4:$G$35,3,FALSE)</f>
        <v>308</v>
      </c>
      <c r="G17">
        <f>VLOOKUP($A17,'[1]Nasabah APERD Berdasarkan Gener'!$B$4:$G$35,4,FALSE)</f>
        <v>786</v>
      </c>
      <c r="H17">
        <f>VLOOKUP($A17,'[1]Nasabah APERD Berdasarkan Gener'!$B$4:$G$35,5,FALSE)</f>
        <v>1141</v>
      </c>
      <c r="I17">
        <f>VLOOKUP($A17,'[1]Nasabah APERD Berdasarkan Gener'!$B$4:$G$35,6,FALSE)</f>
        <v>0</v>
      </c>
    </row>
    <row r="18" spans="1:9" x14ac:dyDescent="0.3">
      <c r="A18" s="3" t="s">
        <v>19</v>
      </c>
      <c r="B18" s="4">
        <v>12</v>
      </c>
      <c r="C18" s="4">
        <v>12</v>
      </c>
      <c r="D18" s="5">
        <v>2322.9070947</v>
      </c>
      <c r="E18">
        <f>VLOOKUP($A18,'[1]Nasabah APERD Berdasarkan Gener'!$B$4:$G$35,2,FALSE)</f>
        <v>3</v>
      </c>
      <c r="F18">
        <f>VLOOKUP($A18,'[1]Nasabah APERD Berdasarkan Gener'!$B$4:$G$35,3,FALSE)</f>
        <v>5</v>
      </c>
      <c r="G18">
        <f>VLOOKUP($A18,'[1]Nasabah APERD Berdasarkan Gener'!$B$4:$G$35,4,FALSE)</f>
        <v>3</v>
      </c>
      <c r="H18">
        <f>VLOOKUP($A18,'[1]Nasabah APERD Berdasarkan Gener'!$B$4:$G$35,5,FALSE)</f>
        <v>1</v>
      </c>
      <c r="I18">
        <f>VLOOKUP($A18,'[1]Nasabah APERD Berdasarkan Gener'!$B$4:$G$35,6,FALSE)</f>
        <v>0</v>
      </c>
    </row>
    <row r="19" spans="1:9" x14ac:dyDescent="0.3">
      <c r="A19" s="3" t="s">
        <v>20</v>
      </c>
      <c r="B19" s="4">
        <v>105</v>
      </c>
      <c r="C19" s="4">
        <v>105</v>
      </c>
      <c r="D19" s="5">
        <v>2094.5046682399998</v>
      </c>
      <c r="E19">
        <f>VLOOKUP($A19,'[1]Nasabah APERD Berdasarkan Gener'!$B$4:$G$35,2,FALSE)</f>
        <v>8</v>
      </c>
      <c r="F19">
        <f>VLOOKUP($A19,'[1]Nasabah APERD Berdasarkan Gener'!$B$4:$G$35,3,FALSE)</f>
        <v>26</v>
      </c>
      <c r="G19">
        <f>VLOOKUP($A19,'[1]Nasabah APERD Berdasarkan Gener'!$B$4:$G$35,4,FALSE)</f>
        <v>42</v>
      </c>
      <c r="H19">
        <f>VLOOKUP($A19,'[1]Nasabah APERD Berdasarkan Gener'!$B$4:$G$35,5,FALSE)</f>
        <v>27</v>
      </c>
      <c r="I19">
        <f>VLOOKUP($A19,'[1]Nasabah APERD Berdasarkan Gener'!$B$4:$G$35,6,FALSE)</f>
        <v>0</v>
      </c>
    </row>
    <row r="20" spans="1:9" x14ac:dyDescent="0.3">
      <c r="A20" s="3" t="s">
        <v>21</v>
      </c>
      <c r="B20" s="4">
        <v>16</v>
      </c>
      <c r="C20" s="4">
        <v>16</v>
      </c>
      <c r="D20" s="5">
        <v>1585.9403637399901</v>
      </c>
      <c r="E20">
        <f>VLOOKUP($A20,'[1]Nasabah APERD Berdasarkan Gener'!$B$4:$G$35,2,FALSE)</f>
        <v>1</v>
      </c>
      <c r="F20">
        <f>VLOOKUP($A20,'[1]Nasabah APERD Berdasarkan Gener'!$B$4:$G$35,3,FALSE)</f>
        <v>2</v>
      </c>
      <c r="G20">
        <f>VLOOKUP($A20,'[1]Nasabah APERD Berdasarkan Gener'!$B$4:$G$35,4,FALSE)</f>
        <v>9</v>
      </c>
      <c r="H20">
        <f>VLOOKUP($A20,'[1]Nasabah APERD Berdasarkan Gener'!$B$4:$G$35,5,FALSE)</f>
        <v>4</v>
      </c>
      <c r="I20">
        <f>VLOOKUP($A20,'[1]Nasabah APERD Berdasarkan Gener'!$B$4:$G$35,6,FALSE)</f>
        <v>0</v>
      </c>
    </row>
    <row r="21" spans="1:9" x14ac:dyDescent="0.3">
      <c r="A21" s="3" t="s">
        <v>22</v>
      </c>
      <c r="B21" s="4">
        <v>2563</v>
      </c>
      <c r="C21" s="4">
        <v>2563</v>
      </c>
      <c r="D21" s="5">
        <v>1360.8059549299901</v>
      </c>
      <c r="E21">
        <f>VLOOKUP($A21,'[1]Nasabah APERD Berdasarkan Gener'!$B$4:$G$35,2,FALSE)</f>
        <v>20</v>
      </c>
      <c r="F21">
        <f>VLOOKUP($A21,'[1]Nasabah APERD Berdasarkan Gener'!$B$4:$G$35,3,FALSE)</f>
        <v>379</v>
      </c>
      <c r="G21">
        <f>VLOOKUP($A21,'[1]Nasabah APERD Berdasarkan Gener'!$B$4:$G$35,4,FALSE)</f>
        <v>996</v>
      </c>
      <c r="H21">
        <f>VLOOKUP($A21,'[1]Nasabah APERD Berdasarkan Gener'!$B$4:$G$35,5,FALSE)</f>
        <v>1224</v>
      </c>
      <c r="I21">
        <f>VLOOKUP($A21,'[1]Nasabah APERD Berdasarkan Gener'!$B$4:$G$35,6,FALSE)</f>
        <v>0</v>
      </c>
    </row>
    <row r="22" spans="1:9" x14ac:dyDescent="0.3">
      <c r="A22" s="3" t="s">
        <v>23</v>
      </c>
      <c r="B22" s="4">
        <v>326</v>
      </c>
      <c r="C22" s="4">
        <v>326</v>
      </c>
      <c r="D22" s="5">
        <v>1089.11665152</v>
      </c>
      <c r="E22">
        <f>VLOOKUP($A22,'[1]Nasabah APERD Berdasarkan Gener'!$B$4:$G$35,2,FALSE)</f>
        <v>2</v>
      </c>
      <c r="F22">
        <f>VLOOKUP($A22,'[1]Nasabah APERD Berdasarkan Gener'!$B$4:$G$35,3,FALSE)</f>
        <v>53</v>
      </c>
      <c r="G22">
        <f>VLOOKUP($A22,'[1]Nasabah APERD Berdasarkan Gener'!$B$4:$G$35,4,FALSE)</f>
        <v>137</v>
      </c>
      <c r="H22">
        <f>VLOOKUP($A22,'[1]Nasabah APERD Berdasarkan Gener'!$B$4:$G$35,5,FALSE)</f>
        <v>137</v>
      </c>
      <c r="I22">
        <f>VLOOKUP($A22,'[1]Nasabah APERD Berdasarkan Gener'!$B$4:$G$35,6,FALSE)</f>
        <v>0</v>
      </c>
    </row>
    <row r="23" spans="1:9" x14ac:dyDescent="0.3">
      <c r="A23" s="3" t="s">
        <v>24</v>
      </c>
      <c r="B23" s="4">
        <v>162</v>
      </c>
      <c r="C23" s="4">
        <v>162</v>
      </c>
      <c r="D23" s="5">
        <v>916.13604103</v>
      </c>
      <c r="E23">
        <f>VLOOKUP($A23,'[1]Nasabah APERD Berdasarkan Gener'!$B$4:$G$35,2,FALSE)</f>
        <v>0</v>
      </c>
      <c r="F23">
        <f>VLOOKUP($A23,'[1]Nasabah APERD Berdasarkan Gener'!$B$4:$G$35,3,FALSE)</f>
        <v>31</v>
      </c>
      <c r="G23">
        <f>VLOOKUP($A23,'[1]Nasabah APERD Berdasarkan Gener'!$B$4:$G$35,4,FALSE)</f>
        <v>85</v>
      </c>
      <c r="H23">
        <f>VLOOKUP($A23,'[1]Nasabah APERD Berdasarkan Gener'!$B$4:$G$35,5,FALSE)</f>
        <v>55</v>
      </c>
      <c r="I23">
        <f>VLOOKUP($A23,'[1]Nasabah APERD Berdasarkan Gener'!$B$4:$G$35,6,FALSE)</f>
        <v>0</v>
      </c>
    </row>
    <row r="24" spans="1:9" x14ac:dyDescent="0.3">
      <c r="A24" s="3" t="s">
        <v>25</v>
      </c>
      <c r="B24" s="4">
        <v>171</v>
      </c>
      <c r="C24" s="4">
        <v>171</v>
      </c>
      <c r="D24" s="5">
        <v>852.50660934999996</v>
      </c>
      <c r="E24">
        <f>VLOOKUP($A24,'[1]Nasabah APERD Berdasarkan Gener'!$B$4:$G$35,2,FALSE)</f>
        <v>10</v>
      </c>
      <c r="F24">
        <f>VLOOKUP($A24,'[1]Nasabah APERD Berdasarkan Gener'!$B$4:$G$35,3,FALSE)</f>
        <v>39</v>
      </c>
      <c r="G24">
        <f>VLOOKUP($A24,'[1]Nasabah APERD Berdasarkan Gener'!$B$4:$G$35,4,FALSE)</f>
        <v>60</v>
      </c>
      <c r="H24">
        <f>VLOOKUP($A24,'[1]Nasabah APERD Berdasarkan Gener'!$B$4:$G$35,5,FALSE)</f>
        <v>66</v>
      </c>
      <c r="I24">
        <f>VLOOKUP($A24,'[1]Nasabah APERD Berdasarkan Gener'!$B$4:$G$35,6,FALSE)</f>
        <v>0</v>
      </c>
    </row>
    <row r="25" spans="1:9" x14ac:dyDescent="0.3">
      <c r="A25" s="3" t="s">
        <v>26</v>
      </c>
      <c r="B25" s="4">
        <v>167</v>
      </c>
      <c r="C25" s="4">
        <v>167</v>
      </c>
      <c r="D25" s="5">
        <v>460.18698217000002</v>
      </c>
      <c r="E25">
        <f>VLOOKUP($A25,'[1]Nasabah APERD Berdasarkan Gener'!$B$4:$G$35,2,FALSE)</f>
        <v>2</v>
      </c>
      <c r="F25">
        <f>VLOOKUP($A25,'[1]Nasabah APERD Berdasarkan Gener'!$B$4:$G$35,3,FALSE)</f>
        <v>18</v>
      </c>
      <c r="G25">
        <f>VLOOKUP($A25,'[1]Nasabah APERD Berdasarkan Gener'!$B$4:$G$35,4,FALSE)</f>
        <v>74</v>
      </c>
      <c r="H25">
        <f>VLOOKUP($A25,'[1]Nasabah APERD Berdasarkan Gener'!$B$4:$G$35,5,FALSE)</f>
        <v>74</v>
      </c>
      <c r="I25">
        <f>VLOOKUP($A25,'[1]Nasabah APERD Berdasarkan Gener'!$B$4:$G$35,6,FALSE)</f>
        <v>0</v>
      </c>
    </row>
    <row r="26" spans="1:9" x14ac:dyDescent="0.3">
      <c r="A26" s="3" t="s">
        <v>27</v>
      </c>
      <c r="B26" s="4">
        <v>44</v>
      </c>
      <c r="C26" s="4">
        <v>44</v>
      </c>
      <c r="D26" s="5">
        <v>247.356099069999</v>
      </c>
      <c r="E26">
        <f>VLOOKUP($A26,'[1]Nasabah APERD Berdasarkan Gener'!$B$4:$G$35,2,FALSE)</f>
        <v>2</v>
      </c>
      <c r="F26">
        <f>VLOOKUP($A26,'[1]Nasabah APERD Berdasarkan Gener'!$B$4:$G$35,3,FALSE)</f>
        <v>10</v>
      </c>
      <c r="G26">
        <f>VLOOKUP($A26,'[1]Nasabah APERD Berdasarkan Gener'!$B$4:$G$35,4,FALSE)</f>
        <v>19</v>
      </c>
      <c r="H26">
        <f>VLOOKUP($A26,'[1]Nasabah APERD Berdasarkan Gener'!$B$4:$G$35,5,FALSE)</f>
        <v>13</v>
      </c>
      <c r="I26">
        <f>VLOOKUP($A26,'[1]Nasabah APERD Berdasarkan Gener'!$B$4:$G$35,6,FALSE)</f>
        <v>0</v>
      </c>
    </row>
    <row r="27" spans="1:9" x14ac:dyDescent="0.3">
      <c r="A27" s="3" t="s">
        <v>28</v>
      </c>
      <c r="B27" s="4">
        <v>8</v>
      </c>
      <c r="C27" s="4">
        <v>8</v>
      </c>
      <c r="D27" s="5">
        <v>237.25938638</v>
      </c>
      <c r="E27">
        <f>VLOOKUP($A27,'[1]Nasabah APERD Berdasarkan Gener'!$B$4:$G$35,2,FALSE)</f>
        <v>0</v>
      </c>
      <c r="F27">
        <f>VLOOKUP($A27,'[1]Nasabah APERD Berdasarkan Gener'!$B$4:$G$35,3,FALSE)</f>
        <v>4</v>
      </c>
      <c r="G27">
        <f>VLOOKUP($A27,'[1]Nasabah APERD Berdasarkan Gener'!$B$4:$G$35,4,FALSE)</f>
        <v>2</v>
      </c>
      <c r="H27">
        <f>VLOOKUP($A27,'[1]Nasabah APERD Berdasarkan Gener'!$B$4:$G$35,5,FALSE)</f>
        <v>2</v>
      </c>
      <c r="I27">
        <f>VLOOKUP($A27,'[1]Nasabah APERD Berdasarkan Gener'!$B$4:$G$35,6,FALSE)</f>
        <v>0</v>
      </c>
    </row>
    <row r="28" spans="1:9" x14ac:dyDescent="0.3">
      <c r="A28" s="3" t="s">
        <v>29</v>
      </c>
      <c r="B28" s="4">
        <v>10</v>
      </c>
      <c r="C28" s="4">
        <v>10</v>
      </c>
      <c r="D28" s="5">
        <v>82.194155010000003</v>
      </c>
      <c r="E28">
        <f>VLOOKUP($A28,'[1]Nasabah APERD Berdasarkan Gener'!$B$4:$G$35,2,FALSE)</f>
        <v>0</v>
      </c>
      <c r="F28">
        <f>VLOOKUP($A28,'[1]Nasabah APERD Berdasarkan Gener'!$B$4:$G$35,3,FALSE)</f>
        <v>4</v>
      </c>
      <c r="G28">
        <f>VLOOKUP($A28,'[1]Nasabah APERD Berdasarkan Gener'!$B$4:$G$35,4,FALSE)</f>
        <v>2</v>
      </c>
      <c r="H28">
        <f>VLOOKUP($A28,'[1]Nasabah APERD Berdasarkan Gener'!$B$4:$G$35,5,FALSE)</f>
        <v>4</v>
      </c>
      <c r="I28">
        <f>VLOOKUP($A28,'[1]Nasabah APERD Berdasarkan Gener'!$B$4:$G$35,6,FALSE)</f>
        <v>0</v>
      </c>
    </row>
    <row r="29" spans="1:9" x14ac:dyDescent="0.3">
      <c r="A29" s="3" t="s">
        <v>30</v>
      </c>
      <c r="B29" s="4">
        <v>76</v>
      </c>
      <c r="C29" s="4">
        <v>77</v>
      </c>
      <c r="D29" s="5">
        <v>57.546140919999999</v>
      </c>
      <c r="E29">
        <f>VLOOKUP($A29,'[1]Nasabah APERD Berdasarkan Gener'!$B$4:$G$35,2,FALSE)</f>
        <v>0</v>
      </c>
      <c r="F29">
        <f>VLOOKUP($A29,'[1]Nasabah APERD Berdasarkan Gener'!$B$4:$G$35,3,FALSE)</f>
        <v>14</v>
      </c>
      <c r="G29">
        <f>VLOOKUP($A29,'[1]Nasabah APERD Berdasarkan Gener'!$B$4:$G$35,4,FALSE)</f>
        <v>26</v>
      </c>
      <c r="H29">
        <f>VLOOKUP($A29,'[1]Nasabah APERD Berdasarkan Gener'!$B$4:$G$35,5,FALSE)</f>
        <v>37</v>
      </c>
      <c r="I29">
        <f>VLOOKUP($A29,'[1]Nasabah APERD Berdasarkan Gener'!$B$4:$G$35,6,FALSE)</f>
        <v>0</v>
      </c>
    </row>
    <row r="30" spans="1:9" x14ac:dyDescent="0.3">
      <c r="A30" s="3" t="s">
        <v>31</v>
      </c>
      <c r="B30" s="4">
        <v>21</v>
      </c>
      <c r="C30" s="4">
        <v>21</v>
      </c>
      <c r="D30" s="5">
        <v>6.81051041</v>
      </c>
      <c r="E30">
        <f>VLOOKUP($A30,'[1]Nasabah APERD Berdasarkan Gener'!$B$4:$G$35,2,FALSE)</f>
        <v>0</v>
      </c>
      <c r="F30">
        <f>VLOOKUP($A30,'[1]Nasabah APERD Berdasarkan Gener'!$B$4:$G$35,3,FALSE)</f>
        <v>2</v>
      </c>
      <c r="G30">
        <f>VLOOKUP($A30,'[1]Nasabah APERD Berdasarkan Gener'!$B$4:$G$35,4,FALSE)</f>
        <v>11</v>
      </c>
      <c r="H30">
        <f>VLOOKUP($A30,'[1]Nasabah APERD Berdasarkan Gener'!$B$4:$G$35,5,FALSE)</f>
        <v>8</v>
      </c>
      <c r="I30">
        <f>VLOOKUP($A30,'[1]Nasabah APERD Berdasarkan Gener'!$B$4:$G$35,6,FALSE)</f>
        <v>0</v>
      </c>
    </row>
    <row r="31" spans="1:9" x14ac:dyDescent="0.3">
      <c r="A31" s="3" t="s">
        <v>32</v>
      </c>
      <c r="B31" s="4">
        <v>21</v>
      </c>
      <c r="C31" s="4">
        <v>21</v>
      </c>
      <c r="D31" s="5">
        <v>1.76691427</v>
      </c>
      <c r="E31">
        <f>VLOOKUP($A31,'[1]Nasabah APERD Berdasarkan Gener'!$B$4:$G$35,2,FALSE)</f>
        <v>0</v>
      </c>
      <c r="F31">
        <f>VLOOKUP($A31,'[1]Nasabah APERD Berdasarkan Gener'!$B$4:$G$35,3,FALSE)</f>
        <v>2</v>
      </c>
      <c r="G31">
        <f>VLOOKUP($A31,'[1]Nasabah APERD Berdasarkan Gener'!$B$4:$G$35,4,FALSE)</f>
        <v>6</v>
      </c>
      <c r="H31">
        <f>VLOOKUP($A31,'[1]Nasabah APERD Berdasarkan Gener'!$B$4:$G$35,5,FALSE)</f>
        <v>13</v>
      </c>
      <c r="I31">
        <f>VLOOKUP($A31,'[1]Nasabah APERD Berdasarkan Gener'!$B$4:$G$35,6,FALSE)</f>
        <v>0</v>
      </c>
    </row>
    <row r="32" spans="1:9" x14ac:dyDescent="0.3">
      <c r="A32" s="3" t="s">
        <v>33</v>
      </c>
      <c r="B32" s="4">
        <v>1</v>
      </c>
      <c r="C32" s="4">
        <v>1</v>
      </c>
      <c r="D32" s="5">
        <v>0.11888533</v>
      </c>
      <c r="E32">
        <f>VLOOKUP($A32,'[1]Nasabah APERD Berdasarkan Gener'!$B$4:$G$35,2,FALSE)</f>
        <v>0</v>
      </c>
      <c r="F32">
        <f>VLOOKUP($A32,'[1]Nasabah APERD Berdasarkan Gener'!$B$4:$G$35,3,FALSE)</f>
        <v>0</v>
      </c>
      <c r="G32">
        <f>VLOOKUP($A32,'[1]Nasabah APERD Berdasarkan Gener'!$B$4:$G$35,4,FALSE)</f>
        <v>1</v>
      </c>
      <c r="H32">
        <f>VLOOKUP($A32,'[1]Nasabah APERD Berdasarkan Gener'!$B$4:$G$35,5,FALSE)</f>
        <v>0</v>
      </c>
      <c r="I32">
        <f>VLOOKUP($A32,'[1]Nasabah APERD Berdasarkan Gener'!$B$4:$G$35,6,FALSE)</f>
        <v>0</v>
      </c>
    </row>
    <row r="33" spans="1:9" x14ac:dyDescent="0.3">
      <c r="A33" s="3" t="s">
        <v>34</v>
      </c>
      <c r="B33" s="4">
        <v>2</v>
      </c>
      <c r="C33" s="4">
        <v>2</v>
      </c>
      <c r="D33" s="5">
        <v>2.1977049999999901E-2</v>
      </c>
      <c r="E33">
        <f>VLOOKUP($A33,'[1]Nasabah APERD Berdasarkan Gener'!$B$4:$G$35,2,FALSE)</f>
        <v>0</v>
      </c>
      <c r="F33">
        <f>VLOOKUP($A33,'[1]Nasabah APERD Berdasarkan Gener'!$B$4:$G$35,3,FALSE)</f>
        <v>0</v>
      </c>
      <c r="G33">
        <f>VLOOKUP($A33,'[1]Nasabah APERD Berdasarkan Gener'!$B$4:$G$35,4,FALSE)</f>
        <v>2</v>
      </c>
      <c r="H33">
        <f>VLOOKUP($A33,'[1]Nasabah APERD Berdasarkan Gener'!$B$4:$G$35,5,FALSE)</f>
        <v>0</v>
      </c>
      <c r="I33">
        <f>VLOOKUP($A33,'[1]Nasabah APERD Berdasarkan Gener'!$B$4:$G$35,6,FALSE)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Demografi APERD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Amelia Chairunnisa</dc:creator>
  <cp:lastModifiedBy>Amelia Chairunnisa</cp:lastModifiedBy>
  <dcterms:created xsi:type="dcterms:W3CDTF">2026-01-06T03:55:11Z</dcterms:created>
  <dcterms:modified xsi:type="dcterms:W3CDTF">2026-01-06T04:02:57Z</dcterms:modified>
</cp:coreProperties>
</file>